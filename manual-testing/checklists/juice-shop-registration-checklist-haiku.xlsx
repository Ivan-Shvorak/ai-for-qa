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_FilterDatabase" localSheetId="0" hidden="1">'Checklist'!$A$19:$H$29</definedName>
    <definedName name="_xlnm.Print_Titles" localSheetId="0">'Checklist'!$19:$19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9"/>
    </font>
    <font>
      <name val="Arial"/>
      <b val="1"/>
      <color rgb="001F2A4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F6B35"/>
      <sz val="10"/>
    </font>
    <font>
      <name val="Arial"/>
      <b val="1"/>
      <color rgb="009B1C1C"/>
      <sz val="10"/>
    </font>
    <font>
      <name val="Arial"/>
      <b val="1"/>
      <color rgb="008A4B00"/>
      <sz val="10"/>
    </font>
    <font>
      <name val="Arial"/>
      <b val="1"/>
      <color rgb="004B5563"/>
      <sz val="10"/>
    </font>
    <font>
      <name val="Arial"/>
      <b val="1"/>
      <color rgb="006B7280"/>
      <sz val="10"/>
    </font>
  </fonts>
  <fills count="12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5F7FA"/>
      </patternFill>
    </fill>
    <fill>
      <patternFill patternType="solid">
        <fgColor rgb="00FFF8DC"/>
      </patternFill>
    </fill>
    <fill>
      <patternFill patternType="solid">
        <fgColor rgb="00E8ECF4"/>
      </patternFill>
    </fill>
    <fill>
      <patternFill patternType="solid">
        <fgColor rgb="00EAF2FF"/>
      </patternFill>
    </fill>
    <fill>
      <patternFill patternType="solid">
        <fgColor rgb="00D1F2DC"/>
      </patternFill>
    </fill>
    <fill>
      <patternFill patternType="solid">
        <fgColor rgb="00FBD5D5"/>
      </patternFill>
    </fill>
    <fill>
      <patternFill patternType="solid">
        <fgColor rgb="00FFE4C2"/>
      </patternFill>
    </fill>
    <fill>
      <patternFill patternType="solid">
        <fgColor rgb="00E5E7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0" borderId="0" pivotButton="0" quotePrefix="0" xfId="0"/>
    <xf numFmtId="0" fontId="4" fillId="3" borderId="1" applyAlignment="1" pivotButton="0" quotePrefix="0" xfId="0">
      <alignment vertical="center" indent="1"/>
    </xf>
    <xf numFmtId="0" fontId="5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indent="1"/>
    </xf>
    <xf numFmtId="0" fontId="5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4" borderId="1" applyAlignment="1" pivotButton="0" quotePrefix="0" xfId="0">
      <alignment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 inden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7">
    <dxf>
      <font>
        <name val="Arial"/>
        <b val="1"/>
        <color rgb="000F6B35"/>
      </font>
      <fill>
        <patternFill patternType="solid">
          <fgColor rgb="00D1F2DC"/>
          <bgColor rgb="00D1F2DC"/>
        </patternFill>
      </fill>
    </dxf>
    <dxf>
      <font>
        <name val="Arial"/>
        <b val="1"/>
        <color rgb="009B1C1C"/>
      </font>
      <fill>
        <patternFill patternType="solid">
          <fgColor rgb="00FBD5D5"/>
          <bgColor rgb="00FBD5D5"/>
        </patternFill>
      </fill>
    </dxf>
    <dxf>
      <font>
        <name val="Arial"/>
        <b val="1"/>
        <color rgb="008A4B00"/>
      </font>
      <fill>
        <patternFill patternType="solid">
          <fgColor rgb="00FFE4C2"/>
          <bgColor rgb="00FFE4C2"/>
        </patternFill>
      </fill>
    </dxf>
    <dxf>
      <font>
        <name val="Arial"/>
        <b val="1"/>
        <color rgb="004B5563"/>
      </font>
      <fill>
        <patternFill patternType="solid">
          <fgColor rgb="00E5E7EB"/>
          <bgColor rgb="00E5E7EB"/>
        </patternFill>
      </fill>
    </dxf>
    <dxf>
      <font>
        <name val="Arial"/>
        <b val="1"/>
        <color rgb="006B7280"/>
      </font>
      <fill>
        <patternFill patternType="solid">
          <fgColor rgb="00FFFFFF"/>
          <bgColor rgb="00FFFFFF"/>
        </patternFill>
      </fill>
    </dxf>
    <dxf>
      <fill>
        <patternFill patternType="solid">
          <fgColor rgb="00FDECEC"/>
          <bgColor rgb="00FDECEC"/>
        </patternFill>
      </fill>
    </dxf>
    <dxf>
      <font>
        <name val="Arial"/>
        <color rgb="009CA3A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xSplit="3" ySplit="19" topLeftCell="D2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0" customWidth="1" min="3" max="3"/>
    <col width="14" customWidth="1" min="4" max="4"/>
    <col width="42" customWidth="1" min="5" max="5"/>
    <col width="16" customWidth="1" min="6" max="6"/>
    <col width="32" customWidth="1" min="7" max="7"/>
    <col width="28" customWidth="1" min="8" max="8"/>
  </cols>
  <sheetData>
    <row r="1" ht="32" customHeight="1">
      <c r="A1" s="1" t="inlineStr">
        <is>
          <t>Juice Shop — Registration form</t>
        </is>
      </c>
    </row>
    <row r="2">
      <c r="A2" s="2" t="inlineStr">
        <is>
          <t>Juice Shop · Registration form · Requirements JS-REQ-001…010</t>
        </is>
      </c>
    </row>
    <row r="4">
      <c r="A4" s="3" t="inlineStr">
        <is>
          <t>Run info</t>
        </is>
      </c>
      <c r="E4" s="3" t="inlineStr">
        <is>
          <t>Summary</t>
        </is>
      </c>
      <c r="G4" s="3" t="inlineStr">
        <is>
          <t>Checks by section</t>
        </is>
      </c>
    </row>
    <row r="5">
      <c r="A5" s="4" t="inlineStr">
        <is>
          <t>Tested by</t>
        </is>
      </c>
      <c r="B5" s="4" t="n"/>
      <c r="C5" s="5" t="n"/>
      <c r="E5" s="4" t="inlineStr">
        <is>
          <t>Total</t>
        </is>
      </c>
      <c r="F5" s="6">
        <f>ROWS($D$20:$D$29)</f>
        <v/>
      </c>
      <c r="G5" s="7" t="inlineStr">
        <is>
          <t>Registration form requirements</t>
        </is>
      </c>
      <c r="H5" s="8">
        <f>COUNTIF($B$20:$B$29,"Registration form requirements")</f>
        <v/>
      </c>
    </row>
    <row r="6">
      <c r="A6" s="4" t="inlineStr">
        <is>
          <t>Build / Version</t>
        </is>
      </c>
      <c r="B6" s="4" t="n"/>
      <c r="C6" s="5" t="n"/>
      <c r="E6" s="4" t="inlineStr">
        <is>
          <t>Pass</t>
        </is>
      </c>
      <c r="F6" s="9">
        <f>COUNTIF($D$20:$D$29,"Pass")</f>
        <v/>
      </c>
    </row>
    <row r="7">
      <c r="A7" s="4" t="inlineStr">
        <is>
          <t>Environment</t>
        </is>
      </c>
      <c r="B7" s="4" t="n"/>
      <c r="C7" s="5" t="n"/>
      <c r="E7" s="4" t="inlineStr">
        <is>
          <t>Fail</t>
        </is>
      </c>
      <c r="F7" s="10">
        <f>COUNTIF($D$20:$D$29,"Fail")</f>
        <v/>
      </c>
    </row>
    <row r="8">
      <c r="A8" s="4" t="inlineStr">
        <is>
          <t>Browser / Device</t>
        </is>
      </c>
      <c r="B8" s="4" t="n"/>
      <c r="C8" s="5" t="n"/>
      <c r="E8" s="4" t="inlineStr">
        <is>
          <t>Blocked</t>
        </is>
      </c>
      <c r="F8" s="11">
        <f>COUNTIF($D$20:$D$29,"Blocked")</f>
        <v/>
      </c>
    </row>
    <row r="9">
      <c r="A9" s="4" t="inlineStr">
        <is>
          <t>Date started</t>
        </is>
      </c>
      <c r="B9" s="4" t="n"/>
      <c r="C9" s="12" t="n"/>
      <c r="E9" s="4" t="inlineStr">
        <is>
          <t>Skipped</t>
        </is>
      </c>
      <c r="F9" s="13">
        <f>COUNTIF($D$20:$D$29,"Skipped")</f>
        <v/>
      </c>
    </row>
    <row r="10">
      <c r="A10" s="4" t="inlineStr">
        <is>
          <t>Date finished</t>
        </is>
      </c>
      <c r="B10" s="4" t="n"/>
      <c r="C10" s="12" t="n"/>
      <c r="E10" s="4" t="inlineStr">
        <is>
          <t>Not run</t>
        </is>
      </c>
      <c r="F10" s="14">
        <f>COUNTIF($D$20:$D$29,"Not run")</f>
        <v/>
      </c>
    </row>
    <row r="11">
      <c r="E11" s="4" t="inlineStr">
        <is>
          <t>Progress</t>
        </is>
      </c>
      <c r="F11" s="15">
        <f>IFERROR((F5-F10)/F5,0)</f>
        <v/>
      </c>
    </row>
    <row r="12" ht="26" customHeight="1">
      <c r="A12" s="16" t="inlineStr">
        <is>
          <t>Yellow cells = fill in.  Status: pick from dropdown.  On Fail/Blocked: describe the bug, add ADO bug # and links to screenshots/videos.</t>
        </is>
      </c>
      <c r="E12" s="4" t="inlineStr">
        <is>
          <t>Pass rate (executed)</t>
        </is>
      </c>
      <c r="F12" s="15">
        <f>IFERROR(F6/(F6+F7+F8),0)</f>
        <v/>
      </c>
    </row>
    <row r="14">
      <c r="A14" s="3" t="inlineStr">
        <is>
          <t>Test accounts</t>
        </is>
      </c>
    </row>
    <row r="15">
      <c r="A15" s="17" t="inlineStr">
        <is>
          <t>Role</t>
        </is>
      </c>
      <c r="B15" s="17" t="n"/>
      <c r="C15" s="17" t="inlineStr">
        <is>
          <t>Login / Email</t>
        </is>
      </c>
      <c r="D15" s="17" t="inlineStr">
        <is>
          <t>Password / vault link</t>
        </is>
      </c>
      <c r="E15" s="17" t="n"/>
      <c r="F15" s="17" t="inlineStr">
        <is>
          <t>Toggle / Flags</t>
        </is>
      </c>
      <c r="G15" s="17" t="inlineStr">
        <is>
          <t>Notes</t>
        </is>
      </c>
      <c r="H15" s="17" t="n"/>
    </row>
    <row r="16">
      <c r="A16" s="18" t="inlineStr">
        <is>
          <t>Tester (new user, no account needed)</t>
        </is>
      </c>
      <c r="B16" s="18" t="n"/>
      <c r="C16" s="19" t="n"/>
      <c r="D16" s="19" t="n"/>
      <c r="E16" s="19" t="n"/>
      <c r="F16" s="20" t="n"/>
      <c r="G16" s="19" t="n"/>
      <c r="H16" s="19" t="n"/>
    </row>
    <row r="17">
      <c r="A17" s="18" t="n"/>
      <c r="B17" s="18" t="n"/>
      <c r="C17" s="19" t="n"/>
      <c r="D17" s="19" t="n"/>
      <c r="E17" s="19" t="n"/>
      <c r="F17" s="20" t="n"/>
      <c r="G17" s="19" t="n"/>
      <c r="H17" s="19" t="n"/>
    </row>
    <row r="19" ht="24" customHeight="1">
      <c r="A19" s="21" t="inlineStr">
        <is>
          <t>ID</t>
        </is>
      </c>
      <c r="B19" s="21" t="inlineStr">
        <is>
          <t>Section</t>
        </is>
      </c>
      <c r="C19" s="21" t="inlineStr">
        <is>
          <t>Check</t>
        </is>
      </c>
      <c r="D19" s="21" t="inlineStr">
        <is>
          <t>Status</t>
        </is>
      </c>
      <c r="E19" s="21" t="inlineStr">
        <is>
          <t>Bug description</t>
        </is>
      </c>
      <c r="F19" s="21" t="inlineStr">
        <is>
          <t>ADO bug #</t>
        </is>
      </c>
      <c r="G19" s="21" t="inlineStr">
        <is>
          <t>Attachments (links)</t>
        </is>
      </c>
      <c r="H19" s="21" t="inlineStr">
        <is>
          <t>Notes</t>
        </is>
      </c>
    </row>
    <row r="20">
      <c r="A20" s="22" t="inlineStr">
        <is>
          <t>R-01</t>
        </is>
      </c>
      <c r="B20" s="23" t="inlineStr">
        <is>
          <t>Registration form requirements</t>
        </is>
      </c>
      <c r="C20" s="24" t="inlineStr">
        <is>
          <t>JS-REQ-001 The user email field must accept only a valid email address</t>
        </is>
      </c>
      <c r="D20" s="25" t="inlineStr">
        <is>
          <t>Not run</t>
        </is>
      </c>
      <c r="E20" s="24" t="n"/>
      <c r="F20" s="24" t="n"/>
      <c r="G20" s="24" t="n"/>
      <c r="H20" s="24" t="n"/>
    </row>
    <row r="21">
      <c r="A21" s="22" t="inlineStr">
        <is>
          <t>R-02</t>
        </is>
      </c>
      <c r="B21" s="23" t="inlineStr">
        <is>
          <t>Registration form requirements</t>
        </is>
      </c>
      <c r="C21" s="24" t="inlineStr">
        <is>
          <t>JS-REQ-002 The user email field must accept unique values</t>
        </is>
      </c>
      <c r="D21" s="25" t="inlineStr">
        <is>
          <t>Not run</t>
        </is>
      </c>
      <c r="E21" s="24" t="n"/>
      <c r="F21" s="24" t="n"/>
      <c r="G21" s="24" t="n"/>
      <c r="H21" s="24" t="n"/>
    </row>
    <row r="22">
      <c r="A22" s="22" t="inlineStr">
        <is>
          <t>R-03</t>
        </is>
      </c>
      <c r="B22" s="23" t="inlineStr">
        <is>
          <t>Registration form requirements</t>
        </is>
      </c>
      <c r="C22" s="24" t="inlineStr">
        <is>
          <t>JS-REQ-003 The password field must contain a value not shorter than 8 symbols</t>
        </is>
      </c>
      <c r="D22" s="25" t="inlineStr">
        <is>
          <t>Not run</t>
        </is>
      </c>
      <c r="E22" s="24" t="n"/>
      <c r="F22" s="24" t="n"/>
      <c r="G22" s="24" t="n"/>
      <c r="H22" s="24" t="n"/>
    </row>
    <row r="23">
      <c r="A23" s="22" t="inlineStr">
        <is>
          <t>R-04</t>
        </is>
      </c>
      <c r="B23" s="23" t="inlineStr">
        <is>
          <t>Registration form requirements</t>
        </is>
      </c>
      <c r="C23" s="24" t="inlineStr">
        <is>
          <t>JS-REQ-004 The password field must contain at least one lower character, one upper character, one digit, and one special symbol</t>
        </is>
      </c>
      <c r="D23" s="25" t="inlineStr">
        <is>
          <t>Not run</t>
        </is>
      </c>
      <c r="E23" s="24" t="n"/>
      <c r="F23" s="24" t="n"/>
      <c r="G23" s="24" t="n"/>
      <c r="H23" s="24" t="n"/>
    </row>
    <row r="24">
      <c r="A24" s="22" t="inlineStr">
        <is>
          <t>R-05</t>
        </is>
      </c>
      <c r="B24" s="23" t="inlineStr">
        <is>
          <t>Registration form requirements</t>
        </is>
      </c>
      <c r="C24" s="24" t="inlineStr">
        <is>
          <t>JS-REQ-005 The 'Repeat password' field must validate that it is the same as the 'Password' field value</t>
        </is>
      </c>
      <c r="D24" s="25" t="inlineStr">
        <is>
          <t>Not run</t>
        </is>
      </c>
      <c r="E24" s="24" t="n"/>
      <c r="F24" s="24" t="n"/>
      <c r="G24" s="24" t="n"/>
      <c r="H24" s="24" t="n"/>
    </row>
    <row r="25">
      <c r="A25" s="22" t="inlineStr">
        <is>
          <t>R-06</t>
        </is>
      </c>
      <c r="B25" s="23" t="inlineStr">
        <is>
          <t>Registration form requirements</t>
        </is>
      </c>
      <c r="C25" s="24" t="inlineStr">
        <is>
          <t>JS-REQ-006 The 'Show password advice' toggle should be disabled by default</t>
        </is>
      </c>
      <c r="D25" s="25" t="inlineStr">
        <is>
          <t>Not run</t>
        </is>
      </c>
      <c r="E25" s="24" t="n"/>
      <c r="F25" s="24" t="n"/>
      <c r="G25" s="24" t="n"/>
      <c r="H25" s="24" t="n"/>
    </row>
    <row r="26">
      <c r="A26" s="22" t="inlineStr">
        <is>
          <t>R-07</t>
        </is>
      </c>
      <c r="B26" s="23" t="inlineStr">
        <is>
          <t>Registration form requirements</t>
        </is>
      </c>
      <c r="C26" s="24" t="inlineStr">
        <is>
          <t>JS-REQ-007 The 'Show password advice' toggle should show all the password requirements when enabled</t>
        </is>
      </c>
      <c r="D26" s="25" t="inlineStr">
        <is>
          <t>Not run</t>
        </is>
      </c>
      <c r="E26" s="24" t="n"/>
      <c r="F26" s="24" t="n"/>
      <c r="G26" s="24" t="n"/>
      <c r="H26" s="24" t="n"/>
    </row>
    <row r="27">
      <c r="A27" s="22" t="inlineStr">
        <is>
          <t>R-08</t>
        </is>
      </c>
      <c r="B27" s="23" t="inlineStr">
        <is>
          <t>Registration form requirements</t>
        </is>
      </c>
      <c r="C27" s="24" t="inlineStr">
        <is>
          <t>JS-REQ-008 The 'Security Question' drop-down shows the drop-down with security options</t>
        </is>
      </c>
      <c r="D27" s="25" t="inlineStr">
        <is>
          <t>Not run</t>
        </is>
      </c>
      <c r="E27" s="24" t="n"/>
      <c r="F27" s="24" t="n"/>
      <c r="G27" s="24" t="n"/>
      <c r="H27" s="24" t="n"/>
    </row>
    <row r="28">
      <c r="A28" s="22" t="inlineStr">
        <is>
          <t>R-09</t>
        </is>
      </c>
      <c r="B28" s="23" t="inlineStr">
        <is>
          <t>Registration form requirements</t>
        </is>
      </c>
      <c r="C28" s="24" t="inlineStr">
        <is>
          <t>JS-REQ-009 The fields 'Email', 'Password', 'Repeat password', 'Security Question', and 'Answer' must be required for registration</t>
        </is>
      </c>
      <c r="D28" s="25" t="inlineStr">
        <is>
          <t>Not run</t>
        </is>
      </c>
      <c r="E28" s="24" t="n"/>
      <c r="F28" s="24" t="n"/>
      <c r="G28" s="24" t="n"/>
      <c r="H28" s="24" t="n"/>
    </row>
    <row r="29">
      <c r="A29" s="22" t="inlineStr">
        <is>
          <t>R-10</t>
        </is>
      </c>
      <c r="B29" s="23" t="inlineStr">
        <is>
          <t>Registration form requirements</t>
        </is>
      </c>
      <c r="C29" s="24" t="inlineStr">
        <is>
          <t>JS-REQ-010 The link "Already a customer?" should navigate to the Login screen</t>
        </is>
      </c>
      <c r="D29" s="25" t="inlineStr">
        <is>
          <t>Not run</t>
        </is>
      </c>
      <c r="E29" s="24" t="n"/>
      <c r="F29" s="24" t="n"/>
      <c r="G29" s="24" t="n"/>
      <c r="H29" s="24" t="n"/>
    </row>
  </sheetData>
  <autoFilter ref="A19:H29"/>
  <mergeCells count="19">
    <mergeCell ref="A15:B15"/>
    <mergeCell ref="A1:H1"/>
    <mergeCell ref="A12:C12"/>
    <mergeCell ref="G17:H17"/>
    <mergeCell ref="A6:B6"/>
    <mergeCell ref="A16:B16"/>
    <mergeCell ref="A7:B7"/>
    <mergeCell ref="A14:C14"/>
    <mergeCell ref="D17:E17"/>
    <mergeCell ref="D16:E16"/>
    <mergeCell ref="G15:H15"/>
    <mergeCell ref="A2:H2"/>
    <mergeCell ref="A5:B5"/>
    <mergeCell ref="A17:B17"/>
    <mergeCell ref="A8:B8"/>
    <mergeCell ref="D15:E15"/>
    <mergeCell ref="G16:H16"/>
    <mergeCell ref="A10:B10"/>
    <mergeCell ref="A9:B9"/>
  </mergeCells>
  <conditionalFormatting sqref="D20:D2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conditionalFormatting sqref="E20:E29">
    <cfRule type="expression" priority="6" dxfId="5">
      <formula>AND(OR($D20="Fail",$D20="Blocked"),LEN($E20)=0)</formula>
    </cfRule>
  </conditionalFormatting>
  <conditionalFormatting sqref="C20:C29">
    <cfRule type="expression" priority="7" dxfId="6">
      <formula>$D20="Skipped"</formula>
    </cfRule>
  </conditionalFormatting>
  <dataValidations count="1">
    <dataValidation sqref="D20:D29" showDropDown="0" showInputMessage="0" showErrorMessage="1" allowBlank="0" error="Choose a status from the list" type="list">
      <formula1>"Not run,Pass,Fail,Blocked,Skipped"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2026-10-10T16:46:27Z</dcterms:created>
  <dcterms:modified xsi:type="dcterms:W3CDTF">2026-10-10T16:46:27Z</dcterms:modified>
</cp:coreProperties>
</file>